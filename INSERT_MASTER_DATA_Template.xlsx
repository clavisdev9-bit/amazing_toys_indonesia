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mazing_toys_odoo_online - Hybrid\"/>
    </mc:Choice>
  </mc:AlternateContent>
  <xr:revisionPtr revIDLastSave="0" documentId="13_ncr:1_{A55984F7-3749-4C32-8CCF-12886C5CEF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_PETUNJUK" sheetId="1" r:id="rId1"/>
    <sheet name="1_TENANTS" sheetId="2" r:id="rId2"/>
    <sheet name="2_PRODUCTS" sheetId="3" r:id="rId3"/>
  </sheets>
  <calcPr calcId="181029"/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3" i="3"/>
  <c r="G1" i="3"/>
  <c r="E1" i="3"/>
  <c r="C1" i="3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G1" i="2"/>
  <c r="E1" i="2"/>
  <c r="C1" i="2"/>
</calcChain>
</file>

<file path=xl/sharedStrings.xml><?xml version="1.0" encoding="utf-8"?>
<sst xmlns="http://schemas.openxmlformats.org/spreadsheetml/2006/main" count="111" uniqueCount="82">
  <si>
    <t>PANDUAN PENGGUNAAN TEMPLATE INSERT MASTER DATA</t>
  </si>
  <si>
    <t>URUTAN INSERT (penting!)</t>
  </si>
  <si>
    <t xml:space="preserve">  1. Isi sheet  1_TENANTS  terlebih dahulu — tenant harus ada sebelum product</t>
  </si>
  <si>
    <t xml:space="preserve">  2. Setelah tenant sudah di-insert ke DB, baru isi sheet  2_PRODUCTS</t>
  </si>
  <si>
    <t xml:space="preserve">  3. Pastikan tenant_id di kolom E (Products) sama persis dengan tenant_id yang sudah di-insert</t>
  </si>
  <si>
    <t>CARA PAKAI</t>
  </si>
  <si>
    <t xml:space="preserve">  1. Isi data di kolom-kolom input (kuning = wajib, hijau = optional)</t>
  </si>
  <si>
    <t xml:space="preserve">  2. Kolom SQL INSERT QUERY akan terisi otomatis oleh formula</t>
  </si>
  <si>
    <t xml:space="preserve">  3. Copy kolom SQL INSERT QUERY → paste ke pgAdmin / psql / DBeaver → Execute</t>
  </si>
  <si>
    <t xml:space="preserve">  4. Atau copy semua baris SQL → simpan sebagai file .sql → jalankan via docker exec</t>
  </si>
  <si>
    <t>ATURAN PENTING</t>
  </si>
  <si>
    <t xml:space="preserve">  • tenant_id   : format T001, T002, dst. Huruf kapital, maksimal 20 karakter</t>
  </si>
  <si>
    <t xml:space="preserve">  • product_id  : format P001-T001 (nomor urut + tenant_id). Maksimal 20 karakter</t>
  </si>
  <si>
    <t xml:space="preserve">  • barcode     : harus UNIK di seluruh tabel products</t>
  </si>
  <si>
    <t xml:space="preserve">  • price       : isi angka saja, tanpa titik/koma pemisah ribuan (contoh: 450000)</t>
  </si>
  <si>
    <t xml:space="preserve">  • stock_status: harus salah satu dari: AVAILABLE | OUT_OF_STOCK | RESERVED</t>
  </si>
  <si>
    <t xml:space="preserve">  • is_active   : isi  TRUE  atau  FALSE  (huruf kapital semua)</t>
  </si>
  <si>
    <t xml:space="preserve">  • Kolom SQL INSERT QUERY (abu-abu) — JANGAN diedit manual</t>
  </si>
  <si>
    <t>CARA JALANKAN SQL VIA DOCKER</t>
  </si>
  <si>
    <t xml:space="preserve">  docker exec -i hybrid_postgres psql -U postgres -d amazing_toys_hybrid &lt; insert_tenants.sql</t>
  </si>
  <si>
    <t xml:space="preserve">  docker exec -i hybrid_postgres psql -U postgres -d amazing_toys_hybrid &lt; insert_products.sql</t>
  </si>
  <si>
    <t>LEGEND:</t>
  </si>
  <si>
    <t>tenant_id
(PK, e.g. T001)</t>
  </si>
  <si>
    <t>tenant_name</t>
  </si>
  <si>
    <t>booth_location
(e.g. Hall A Stand A1)</t>
  </si>
  <si>
    <t>floor_label
(UG/GF/2F)</t>
  </si>
  <si>
    <t>contact_name</t>
  </si>
  <si>
    <t>contact_phone
(08xx...)</t>
  </si>
  <si>
    <t>contact_email</t>
  </si>
  <si>
    <t>revenue_share_pct
(default 100.00)</t>
  </si>
  <si>
    <t>bank_account</t>
  </si>
  <si>
    <t>is_active
(TRUE/FALSE)</t>
  </si>
  <si>
    <t>▶  SQL INSERT QUERY
(formula otomatis — jangan diedit)</t>
  </si>
  <si>
    <t>T001</t>
  </si>
  <si>
    <t>Hall A Stand A1</t>
  </si>
  <si>
    <t>GF</t>
  </si>
  <si>
    <t>Budi Santoso</t>
  </si>
  <si>
    <t>081234567890</t>
  </si>
  <si>
    <t>budi@toysworld.com</t>
  </si>
  <si>
    <t>1234567890</t>
  </si>
  <si>
    <t>TRUE</t>
  </si>
  <si>
    <t>product_id
(e.g. P001-T001)</t>
  </si>
  <si>
    <t>product_name</t>
  </si>
  <si>
    <t>category
(Doll/Brick/Hobbies/Art toys/etc.)</t>
  </si>
  <si>
    <t>price
(angka, no separator)</t>
  </si>
  <si>
    <t>tenant_id
(FK → tenants)</t>
  </si>
  <si>
    <t>barcode
(EAN-13/Code128)</t>
  </si>
  <si>
    <t>stock_quantity
(integer ≥ 0)</t>
  </si>
  <si>
    <t>stock_status
(AVAILABLE/
OUT_OF_STOCK/RESERVED)</t>
  </si>
  <si>
    <t>image_url</t>
  </si>
  <si>
    <t>description</t>
  </si>
  <si>
    <t>odoo_categ_id
(integer)</t>
  </si>
  <si>
    <t>▶  SQL INSERT QUERY
(formula otomatis)</t>
  </si>
  <si>
    <t>P001-T001</t>
  </si>
  <si>
    <t>Barbie Dreamhouse</t>
  </si>
  <si>
    <t>Doll</t>
  </si>
  <si>
    <t>EAN-001-T001</t>
  </si>
  <si>
    <t>AVAILABLE</t>
  </si>
  <si>
    <t>Boneka fashion premium</t>
  </si>
  <si>
    <t>Hall A Stand A2</t>
  </si>
  <si>
    <t>1234567891</t>
  </si>
  <si>
    <t>Hall A Stand A3</t>
  </si>
  <si>
    <t>1234567892</t>
  </si>
  <si>
    <t>Hall A Stand A4</t>
  </si>
  <si>
    <t>1234567893</t>
  </si>
  <si>
    <t>SUYA</t>
  </si>
  <si>
    <t>BNS</t>
  </si>
  <si>
    <t>T033</t>
  </si>
  <si>
    <t>T099</t>
  </si>
  <si>
    <t>T088</t>
  </si>
  <si>
    <t>Mega Art</t>
  </si>
  <si>
    <t>Rexona</t>
  </si>
  <si>
    <t>Amazing Toy Show</t>
  </si>
  <si>
    <t>T031</t>
  </si>
  <si>
    <t>2600110</t>
  </si>
  <si>
    <t>1974 Godzilla - Silver</t>
  </si>
  <si>
    <t xml:space="preserve">Individually wrapped toys </t>
  </si>
  <si>
    <t>AB06</t>
  </si>
  <si>
    <t>Loong Starfy Tumbler</t>
  </si>
  <si>
    <t>T030</t>
  </si>
  <si>
    <t>6972636692852</t>
  </si>
  <si>
    <t>AB09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</si>
</sst>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3366"/>
      <name val="Arial"/>
    </font>
    <font>
      <i/>
      <sz val="10"/>
      <color rgb="FF555555"/>
      <name val="Arial"/>
    </font>
    <font>
      <sz val="9"/>
      <color rgb="FF003366"/>
      <name val="Courier New"/>
    </font>
    <font>
      <sz val="10"/>
      <name val="Arial"/>
    </font>
    <font>
      <b/>
      <sz val="14"/>
      <color rgb="FFFFFFFF"/>
      <name val="Arial"/>
    </font>
    <font>
      <sz val="11"/>
      <color rgb="FF222222"/>
      <name val="Arial"/>
    </font>
    <font>
      <b/>
      <sz val="11"/>
      <color rgb="FFFFFFFF"/>
      <name val="Arial"/>
    </font>
    <font>
      <sz val="10"/>
      <color rgb="FF222222"/>
      <name val="Arial"/>
    </font>
    <font>
      <sz val="10"/>
      <color rgb="FF003366"/>
      <name val="Arial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DEEFF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5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0" fillId="8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5" x14ac:dyDescent="0.25"/>
  <cols>
    <col min="1" max="1" width="95" customWidth="1"/>
  </cols>
  <sheetData>
    <row r="1" spans="1:1" ht="20.100000000000001" customHeight="1" x14ac:dyDescent="0.25">
      <c r="A1" s="1" t="s">
        <v>0</v>
      </c>
    </row>
    <row r="2" spans="1:1" ht="8.1" customHeight="1" x14ac:dyDescent="0.25">
      <c r="A2" s="2"/>
    </row>
    <row r="3" spans="1:1" ht="20.100000000000001" customHeight="1" x14ac:dyDescent="0.25">
      <c r="A3" s="3" t="s">
        <v>1</v>
      </c>
    </row>
    <row r="4" spans="1:1" ht="20.100000000000001" customHeight="1" x14ac:dyDescent="0.25">
      <c r="A4" s="4" t="s">
        <v>2</v>
      </c>
    </row>
    <row r="5" spans="1:1" ht="20.100000000000001" customHeight="1" x14ac:dyDescent="0.25">
      <c r="A5" s="4" t="s">
        <v>3</v>
      </c>
    </row>
    <row r="6" spans="1:1" ht="20.100000000000001" customHeight="1" x14ac:dyDescent="0.25">
      <c r="A6" s="4" t="s">
        <v>4</v>
      </c>
    </row>
    <row r="7" spans="1:1" ht="8.1" customHeight="1" x14ac:dyDescent="0.25">
      <c r="A7" s="4"/>
    </row>
    <row r="8" spans="1:1" ht="20.100000000000001" customHeight="1" x14ac:dyDescent="0.25">
      <c r="A8" s="3" t="s">
        <v>5</v>
      </c>
    </row>
    <row r="9" spans="1:1" ht="20.100000000000001" customHeight="1" x14ac:dyDescent="0.25">
      <c r="A9" s="4" t="s">
        <v>6</v>
      </c>
    </row>
    <row r="10" spans="1:1" ht="20.100000000000001" customHeight="1" x14ac:dyDescent="0.25">
      <c r="A10" s="4" t="s">
        <v>7</v>
      </c>
    </row>
    <row r="11" spans="1:1" ht="20.100000000000001" customHeight="1" x14ac:dyDescent="0.25">
      <c r="A11" s="4" t="s">
        <v>8</v>
      </c>
    </row>
    <row r="12" spans="1:1" ht="20.100000000000001" customHeight="1" x14ac:dyDescent="0.25">
      <c r="A12" s="4" t="s">
        <v>9</v>
      </c>
    </row>
    <row r="13" spans="1:1" ht="8.1" customHeight="1" x14ac:dyDescent="0.25">
      <c r="A13" s="4"/>
    </row>
    <row r="14" spans="1:1" ht="20.100000000000001" customHeight="1" x14ac:dyDescent="0.25">
      <c r="A14" s="5" t="s">
        <v>10</v>
      </c>
    </row>
    <row r="15" spans="1:1" ht="20.100000000000001" customHeight="1" x14ac:dyDescent="0.25">
      <c r="A15" s="4" t="s">
        <v>11</v>
      </c>
    </row>
    <row r="16" spans="1:1" ht="20.100000000000001" customHeight="1" x14ac:dyDescent="0.25">
      <c r="A16" s="4" t="s">
        <v>12</v>
      </c>
    </row>
    <row r="17" spans="1:1" ht="20.100000000000001" customHeight="1" x14ac:dyDescent="0.25">
      <c r="A17" s="4" t="s">
        <v>13</v>
      </c>
    </row>
    <row r="18" spans="1:1" ht="20.100000000000001" customHeight="1" x14ac:dyDescent="0.25">
      <c r="A18" s="4" t="s">
        <v>14</v>
      </c>
    </row>
    <row r="19" spans="1:1" ht="20.100000000000001" customHeight="1" x14ac:dyDescent="0.25">
      <c r="A19" s="4" t="s">
        <v>15</v>
      </c>
    </row>
    <row r="20" spans="1:1" ht="20.100000000000001" customHeight="1" x14ac:dyDescent="0.25">
      <c r="A20" s="4" t="s">
        <v>16</v>
      </c>
    </row>
    <row r="21" spans="1:1" ht="20.100000000000001" customHeight="1" x14ac:dyDescent="0.25">
      <c r="A21" s="4" t="s">
        <v>17</v>
      </c>
    </row>
    <row r="22" spans="1:1" ht="8.1" customHeight="1" x14ac:dyDescent="0.25">
      <c r="A22" s="4"/>
    </row>
    <row r="23" spans="1:1" ht="20.100000000000001" customHeight="1" x14ac:dyDescent="0.25">
      <c r="A23" s="3" t="s">
        <v>18</v>
      </c>
    </row>
    <row r="24" spans="1:1" ht="20.100000000000001" customHeight="1" x14ac:dyDescent="0.25">
      <c r="A24" s="6" t="s">
        <v>19</v>
      </c>
    </row>
    <row r="25" spans="1:1" ht="20.100000000000001" customHeight="1" x14ac:dyDescent="0.25">
      <c r="A25" s="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25" customWidth="1"/>
    <col min="3" max="3" width="28" customWidth="1"/>
    <col min="4" max="4" width="12" customWidth="1"/>
    <col min="5" max="5" width="22" customWidth="1"/>
    <col min="6" max="6" width="18" customWidth="1"/>
    <col min="7" max="7" width="28" customWidth="1"/>
    <col min="8" max="9" width="18" customWidth="1"/>
    <col min="10" max="10" width="12" customWidth="1"/>
    <col min="11" max="11" width="120" customWidth="1"/>
  </cols>
  <sheetData>
    <row r="1" spans="1:11" ht="15" customHeight="1" x14ac:dyDescent="0.25">
      <c r="A1" s="7" t="s">
        <v>21</v>
      </c>
      <c r="B1" s="8"/>
      <c r="C1" s="9" t="e">
        <f>Wajib isi (REQUIRED)</f>
        <v>#NAME?</v>
      </c>
      <c r="D1" s="10"/>
      <c r="E1" s="9" t="e">
        <f>Optional (boleh kosong)</f>
        <v>#NAME?</v>
      </c>
      <c r="F1" s="11"/>
      <c r="G1" s="9" t="e">
        <f>Formula SQL (jangan diedit)</f>
        <v>#NAME?</v>
      </c>
    </row>
    <row r="2" spans="1:11" ht="36" customHeight="1" x14ac:dyDescent="0.25">
      <c r="A2" s="12" t="s">
        <v>22</v>
      </c>
      <c r="B2" s="12" t="s">
        <v>23</v>
      </c>
      <c r="C2" s="12" t="s">
        <v>24</v>
      </c>
      <c r="D2" s="13" t="s">
        <v>25</v>
      </c>
      <c r="E2" s="12" t="s">
        <v>26</v>
      </c>
      <c r="F2" s="12" t="s">
        <v>27</v>
      </c>
      <c r="G2" s="13" t="s">
        <v>28</v>
      </c>
      <c r="H2" s="12" t="s">
        <v>29</v>
      </c>
      <c r="I2" s="13" t="s">
        <v>30</v>
      </c>
      <c r="J2" s="12" t="s">
        <v>31</v>
      </c>
      <c r="K2" s="14" t="s">
        <v>32</v>
      </c>
    </row>
    <row r="3" spans="1:11" x14ac:dyDescent="0.25">
      <c r="A3" s="15" t="s">
        <v>33</v>
      </c>
      <c r="B3" s="15" t="s">
        <v>65</v>
      </c>
      <c r="C3" s="15" t="s">
        <v>34</v>
      </c>
      <c r="D3" s="15" t="s">
        <v>35</v>
      </c>
      <c r="E3" s="15" t="s">
        <v>36</v>
      </c>
      <c r="F3" s="15" t="s">
        <v>37</v>
      </c>
      <c r="G3" s="15" t="s">
        <v>38</v>
      </c>
      <c r="H3" s="15">
        <v>100</v>
      </c>
      <c r="I3" s="15" t="s">
        <v>39</v>
      </c>
      <c r="J3" s="15" t="s">
        <v>40</v>
      </c>
      <c r="K3" s="16" t="str">
        <f t="shared" ref="K3:K34" si="0">"INSERT INTO tenants (tenant_id, tenant_name, booth_location, floor_label, contact_name, contact_phone, contact_email, revenue_share_pct, bank_account, is_active) VALUES ("&amp;CHAR(39)&amp;A3&amp;CHAR(39)&amp;", "&amp;CHAR(39)&amp;B3&amp;CHAR(39)&amp;", "&amp;CHAR(39)&amp;C3&amp;CHAR(39)&amp;", "&amp;IF(D3="","NULL",CHAR(39)&amp;D3&amp;CHAR(39))&amp;", "&amp;CHAR(39)&amp;E3&amp;CHAR(39)&amp;", "&amp;CHAR(39)&amp;F3&amp;CHAR(39)&amp;", "&amp;IF(G3="","NULL",CHAR(39)&amp;G3&amp;CHAR(39))&amp;", "&amp;H3&amp;", "&amp;IF(I3="","NULL",CHAR(39)&amp;I3&amp;CHAR(39))&amp;", "&amp;IF(J3="TRUE","TRUE","FALSE")&amp;");"</f>
        <v>INSERT INTO tenants (tenant_id, tenant_name, booth_location, floor_label, contact_name, contact_phone, contact_email, revenue_share_pct, bank_account, is_active) VALUES ('T001', 'SUYA', 'Hall A Stand A1', 'GF', 'Budi Santoso', '081234567890', 'budi@toysworld.com', 100, '1234567890', TRUE);</v>
      </c>
    </row>
    <row r="4" spans="1:11" x14ac:dyDescent="0.25">
      <c r="A4" s="15" t="s">
        <v>67</v>
      </c>
      <c r="B4" s="15" t="s">
        <v>66</v>
      </c>
      <c r="C4" s="15" t="s">
        <v>59</v>
      </c>
      <c r="D4" s="15" t="s">
        <v>35</v>
      </c>
      <c r="E4" s="15" t="s">
        <v>36</v>
      </c>
      <c r="F4" s="15" t="s">
        <v>37</v>
      </c>
      <c r="G4" s="15" t="s">
        <v>38</v>
      </c>
      <c r="H4" s="15">
        <v>101</v>
      </c>
      <c r="I4" s="15" t="s">
        <v>60</v>
      </c>
      <c r="J4" s="15" t="s">
        <v>40</v>
      </c>
      <c r="K4" s="16" t="str">
        <f t="shared" si="0"/>
        <v>INSERT INTO tenants (tenant_id, tenant_name, booth_location, floor_label, contact_name, contact_phone, contact_email, revenue_share_pct, bank_account, is_active) VALUES ('T033', 'BNS', 'Hall A Stand A2', 'GF', 'Budi Santoso', '081234567890', 'budi@toysworld.com', 101, '1234567891', TRUE);</v>
      </c>
    </row>
    <row r="5" spans="1:11" x14ac:dyDescent="0.25">
      <c r="A5" s="15" t="s">
        <v>68</v>
      </c>
      <c r="B5" s="15" t="s">
        <v>70</v>
      </c>
      <c r="C5" s="15" t="s">
        <v>61</v>
      </c>
      <c r="D5" s="15" t="s">
        <v>35</v>
      </c>
      <c r="E5" s="15" t="s">
        <v>36</v>
      </c>
      <c r="F5" s="15" t="s">
        <v>37</v>
      </c>
      <c r="G5" s="15" t="s">
        <v>38</v>
      </c>
      <c r="H5" s="15">
        <v>102</v>
      </c>
      <c r="I5" s="15" t="s">
        <v>62</v>
      </c>
      <c r="J5" s="15" t="s">
        <v>40</v>
      </c>
      <c r="K5" s="16" t="str">
        <f t="shared" si="0"/>
        <v>INSERT INTO tenants (tenant_id, tenant_name, booth_location, floor_label, contact_name, contact_phone, contact_email, revenue_share_pct, bank_account, is_active) VALUES ('T099', 'Mega Art', 'Hall A Stand A3', 'GF', 'Budi Santoso', '081234567890', 'budi@toysworld.com', 102, '1234567892', TRUE);</v>
      </c>
    </row>
    <row r="6" spans="1:11" x14ac:dyDescent="0.25">
      <c r="A6" s="15" t="s">
        <v>69</v>
      </c>
      <c r="B6" s="15" t="s">
        <v>71</v>
      </c>
      <c r="C6" s="15" t="s">
        <v>63</v>
      </c>
      <c r="D6" s="15" t="s">
        <v>35</v>
      </c>
      <c r="E6" s="15" t="s">
        <v>36</v>
      </c>
      <c r="F6" s="15" t="s">
        <v>37</v>
      </c>
      <c r="G6" s="15" t="s">
        <v>38</v>
      </c>
      <c r="H6" s="15">
        <v>103</v>
      </c>
      <c r="I6" s="15" t="s">
        <v>64</v>
      </c>
      <c r="J6" s="15" t="s">
        <v>40</v>
      </c>
      <c r="K6" s="16" t="str">
        <f t="shared" si="0"/>
        <v>INSERT INTO tenants (tenant_id, tenant_name, booth_location, floor_label, contact_name, contact_phone, contact_email, revenue_share_pct, bank_account, is_active) VALUES ('T088', 'Rexona', 'Hall A Stand A4', 'GF', 'Budi Santoso', '081234567890', 'budi@toysworld.com', 103, '1234567893', TRUE);</v>
      </c>
    </row>
    <row r="7" spans="1:11" x14ac:dyDescent="0.25">
      <c r="A7" s="17"/>
      <c r="B7" s="17"/>
      <c r="C7" s="17"/>
      <c r="D7" s="18"/>
      <c r="E7" s="17"/>
      <c r="F7" s="17"/>
      <c r="G7" s="18"/>
      <c r="H7" s="17"/>
      <c r="I7" s="18"/>
      <c r="J7" s="17"/>
      <c r="K7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8" spans="1:11" x14ac:dyDescent="0.25">
      <c r="A8" s="17"/>
      <c r="B8" s="17"/>
      <c r="C8" s="17"/>
      <c r="D8" s="18"/>
      <c r="E8" s="17"/>
      <c r="F8" s="17"/>
      <c r="G8" s="18"/>
      <c r="H8" s="17"/>
      <c r="I8" s="18"/>
      <c r="J8" s="17"/>
      <c r="K8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9" spans="1:11" x14ac:dyDescent="0.25">
      <c r="A9" s="17"/>
      <c r="B9" s="17"/>
      <c r="C9" s="17"/>
      <c r="D9" s="18"/>
      <c r="E9" s="17"/>
      <c r="F9" s="17"/>
      <c r="G9" s="18"/>
      <c r="H9" s="17"/>
      <c r="I9" s="18"/>
      <c r="J9" s="17"/>
      <c r="K9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0" spans="1:11" x14ac:dyDescent="0.25">
      <c r="A10" s="17"/>
      <c r="B10" s="17"/>
      <c r="C10" s="17"/>
      <c r="D10" s="18"/>
      <c r="E10" s="17"/>
      <c r="F10" s="17"/>
      <c r="G10" s="18"/>
      <c r="H10" s="17"/>
      <c r="I10" s="18"/>
      <c r="J10" s="17"/>
      <c r="K10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1" spans="1:11" x14ac:dyDescent="0.25">
      <c r="A11" s="17"/>
      <c r="B11" s="17"/>
      <c r="C11" s="17"/>
      <c r="D11" s="18"/>
      <c r="E11" s="17"/>
      <c r="F11" s="17"/>
      <c r="G11" s="18"/>
      <c r="H11" s="17"/>
      <c r="I11" s="18"/>
      <c r="J11" s="17"/>
      <c r="K11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2" spans="1:11" x14ac:dyDescent="0.25">
      <c r="A12" s="17"/>
      <c r="B12" s="17"/>
      <c r="C12" s="17"/>
      <c r="D12" s="18"/>
      <c r="E12" s="17"/>
      <c r="F12" s="17"/>
      <c r="G12" s="18"/>
      <c r="H12" s="17"/>
      <c r="I12" s="18"/>
      <c r="J12" s="17"/>
      <c r="K12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3" spans="1:11" x14ac:dyDescent="0.25">
      <c r="A13" s="17"/>
      <c r="B13" s="17"/>
      <c r="C13" s="17"/>
      <c r="D13" s="18"/>
      <c r="E13" s="17"/>
      <c r="F13" s="17"/>
      <c r="G13" s="18"/>
      <c r="H13" s="17"/>
      <c r="I13" s="18"/>
      <c r="J13" s="17"/>
      <c r="K13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4" spans="1:11" x14ac:dyDescent="0.25">
      <c r="A14" s="17"/>
      <c r="B14" s="17"/>
      <c r="C14" s="17"/>
      <c r="D14" s="18"/>
      <c r="E14" s="17"/>
      <c r="F14" s="17"/>
      <c r="G14" s="18"/>
      <c r="H14" s="17"/>
      <c r="I14" s="18"/>
      <c r="J14" s="17"/>
      <c r="K14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5" spans="1:11" x14ac:dyDescent="0.25">
      <c r="A15" s="17"/>
      <c r="B15" s="17"/>
      <c r="C15" s="17"/>
      <c r="D15" s="18"/>
      <c r="E15" s="17"/>
      <c r="F15" s="17"/>
      <c r="G15" s="18"/>
      <c r="H15" s="17"/>
      <c r="I15" s="18"/>
      <c r="J15" s="17"/>
      <c r="K15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6" spans="1:11" x14ac:dyDescent="0.25">
      <c r="A16" s="17"/>
      <c r="B16" s="17"/>
      <c r="C16" s="17"/>
      <c r="D16" s="18"/>
      <c r="E16" s="17"/>
      <c r="F16" s="17"/>
      <c r="G16" s="18"/>
      <c r="H16" s="17"/>
      <c r="I16" s="18"/>
      <c r="J16" s="17"/>
      <c r="K16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7" spans="1:11" x14ac:dyDescent="0.25">
      <c r="A17" s="17"/>
      <c r="B17" s="17"/>
      <c r="C17" s="17"/>
      <c r="D17" s="18"/>
      <c r="E17" s="17"/>
      <c r="F17" s="17"/>
      <c r="G17" s="18"/>
      <c r="H17" s="17"/>
      <c r="I17" s="18"/>
      <c r="J17" s="17"/>
      <c r="K17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8" spans="1:11" x14ac:dyDescent="0.25">
      <c r="A18" s="17"/>
      <c r="B18" s="17"/>
      <c r="C18" s="17"/>
      <c r="D18" s="18"/>
      <c r="E18" s="17"/>
      <c r="F18" s="17"/>
      <c r="G18" s="18"/>
      <c r="H18" s="17"/>
      <c r="I18" s="18"/>
      <c r="J18" s="17"/>
      <c r="K18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19" spans="1:11" x14ac:dyDescent="0.25">
      <c r="A19" s="17"/>
      <c r="B19" s="17"/>
      <c r="C19" s="17"/>
      <c r="D19" s="18"/>
      <c r="E19" s="17"/>
      <c r="F19" s="17"/>
      <c r="G19" s="18"/>
      <c r="H19" s="17"/>
      <c r="I19" s="18"/>
      <c r="J19" s="17"/>
      <c r="K19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0" spans="1:11" x14ac:dyDescent="0.25">
      <c r="A20" s="17"/>
      <c r="B20" s="17"/>
      <c r="C20" s="17"/>
      <c r="D20" s="18"/>
      <c r="E20" s="17"/>
      <c r="F20" s="17"/>
      <c r="G20" s="18"/>
      <c r="H20" s="17"/>
      <c r="I20" s="18"/>
      <c r="J20" s="17"/>
      <c r="K20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1" spans="1:11" x14ac:dyDescent="0.25">
      <c r="A21" s="17"/>
      <c r="B21" s="17"/>
      <c r="C21" s="17"/>
      <c r="D21" s="18"/>
      <c r="E21" s="17"/>
      <c r="F21" s="17"/>
      <c r="G21" s="18"/>
      <c r="H21" s="17"/>
      <c r="I21" s="18"/>
      <c r="J21" s="17"/>
      <c r="K21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2" spans="1:11" x14ac:dyDescent="0.25">
      <c r="A22" s="17"/>
      <c r="B22" s="17"/>
      <c r="C22" s="17"/>
      <c r="D22" s="18"/>
      <c r="E22" s="17"/>
      <c r="F22" s="17"/>
      <c r="G22" s="18"/>
      <c r="H22" s="17"/>
      <c r="I22" s="18"/>
      <c r="J22" s="17"/>
      <c r="K22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3" spans="1:11" x14ac:dyDescent="0.25">
      <c r="A23" s="17"/>
      <c r="B23" s="17"/>
      <c r="C23" s="17"/>
      <c r="D23" s="18"/>
      <c r="E23" s="17"/>
      <c r="F23" s="17"/>
      <c r="G23" s="18"/>
      <c r="H23" s="17"/>
      <c r="I23" s="18"/>
      <c r="J23" s="17"/>
      <c r="K23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4" spans="1:11" x14ac:dyDescent="0.25">
      <c r="A24" s="17"/>
      <c r="B24" s="17"/>
      <c r="C24" s="17"/>
      <c r="D24" s="18"/>
      <c r="E24" s="17"/>
      <c r="F24" s="17"/>
      <c r="G24" s="18"/>
      <c r="H24" s="17"/>
      <c r="I24" s="18"/>
      <c r="J24" s="17"/>
      <c r="K24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5" spans="1:11" x14ac:dyDescent="0.25">
      <c r="A25" s="17"/>
      <c r="B25" s="17"/>
      <c r="C25" s="17"/>
      <c r="D25" s="18"/>
      <c r="E25" s="17"/>
      <c r="F25" s="17"/>
      <c r="G25" s="18"/>
      <c r="H25" s="17"/>
      <c r="I25" s="18"/>
      <c r="J25" s="17"/>
      <c r="K25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6" spans="1:11" x14ac:dyDescent="0.25">
      <c r="A26" s="17"/>
      <c r="B26" s="17"/>
      <c r="C26" s="17"/>
      <c r="D26" s="18"/>
      <c r="E26" s="17"/>
      <c r="F26" s="17"/>
      <c r="G26" s="18"/>
      <c r="H26" s="17"/>
      <c r="I26" s="18"/>
      <c r="J26" s="17"/>
      <c r="K26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7" spans="1:11" x14ac:dyDescent="0.25">
      <c r="A27" s="17"/>
      <c r="B27" s="17"/>
      <c r="C27" s="17"/>
      <c r="D27" s="18"/>
      <c r="E27" s="17"/>
      <c r="F27" s="17"/>
      <c r="G27" s="18"/>
      <c r="H27" s="17"/>
      <c r="I27" s="18"/>
      <c r="J27" s="17"/>
      <c r="K27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8" spans="1:11" x14ac:dyDescent="0.25">
      <c r="A28" s="17"/>
      <c r="B28" s="17"/>
      <c r="C28" s="17"/>
      <c r="D28" s="18"/>
      <c r="E28" s="17"/>
      <c r="F28" s="17"/>
      <c r="G28" s="18"/>
      <c r="H28" s="17"/>
      <c r="I28" s="18"/>
      <c r="J28" s="17"/>
      <c r="K28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29" spans="1:11" x14ac:dyDescent="0.25">
      <c r="A29" s="17"/>
      <c r="B29" s="17"/>
      <c r="C29" s="17"/>
      <c r="D29" s="18"/>
      <c r="E29" s="17"/>
      <c r="F29" s="17"/>
      <c r="G29" s="18"/>
      <c r="H29" s="17"/>
      <c r="I29" s="18"/>
      <c r="J29" s="17"/>
      <c r="K29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0" spans="1:11" x14ac:dyDescent="0.25">
      <c r="A30" s="17"/>
      <c r="B30" s="17"/>
      <c r="C30" s="17"/>
      <c r="D30" s="18"/>
      <c r="E30" s="17"/>
      <c r="F30" s="17"/>
      <c r="G30" s="18"/>
      <c r="H30" s="17"/>
      <c r="I30" s="18"/>
      <c r="J30" s="17"/>
      <c r="K30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1" spans="1:11" x14ac:dyDescent="0.25">
      <c r="A31" s="17"/>
      <c r="B31" s="17"/>
      <c r="C31" s="17"/>
      <c r="D31" s="18"/>
      <c r="E31" s="17"/>
      <c r="F31" s="17"/>
      <c r="G31" s="18"/>
      <c r="H31" s="17"/>
      <c r="I31" s="18"/>
      <c r="J31" s="17"/>
      <c r="K31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2" spans="1:11" x14ac:dyDescent="0.25">
      <c r="A32" s="17"/>
      <c r="B32" s="17"/>
      <c r="C32" s="17"/>
      <c r="D32" s="18"/>
      <c r="E32" s="17"/>
      <c r="F32" s="17"/>
      <c r="G32" s="18"/>
      <c r="H32" s="17"/>
      <c r="I32" s="18"/>
      <c r="J32" s="17"/>
      <c r="K32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3" spans="1:11" x14ac:dyDescent="0.25">
      <c r="A33" s="17"/>
      <c r="B33" s="17"/>
      <c r="C33" s="17"/>
      <c r="D33" s="18"/>
      <c r="E33" s="17"/>
      <c r="F33" s="17"/>
      <c r="G33" s="18"/>
      <c r="H33" s="17"/>
      <c r="I33" s="18"/>
      <c r="J33" s="17"/>
      <c r="K33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4" spans="1:11" x14ac:dyDescent="0.25">
      <c r="A34" s="17"/>
      <c r="B34" s="17"/>
      <c r="C34" s="17"/>
      <c r="D34" s="18"/>
      <c r="E34" s="17"/>
      <c r="F34" s="17"/>
      <c r="G34" s="18"/>
      <c r="H34" s="17"/>
      <c r="I34" s="18"/>
      <c r="J34" s="17"/>
      <c r="K34" s="16" t="str">
        <f t="shared" si="0"/>
        <v>INSERT INTO tenants (tenant_id, tenant_name, booth_location, floor_label, contact_name, contact_phone, contact_email, revenue_share_pct, bank_account, is_active) VALUES ('', '', '', NULL, '', '', NULL, , NULL, FALSE);</v>
      </c>
    </row>
    <row r="35" spans="1:11" x14ac:dyDescent="0.25">
      <c r="A35" s="17"/>
      <c r="B35" s="17"/>
      <c r="C35" s="17"/>
      <c r="D35" s="18"/>
      <c r="E35" s="17"/>
      <c r="F35" s="17"/>
      <c r="G35" s="18"/>
      <c r="H35" s="17"/>
      <c r="I35" s="18"/>
      <c r="J35" s="17"/>
      <c r="K35" s="16" t="str">
        <f t="shared" ref="K35:K66" si="1">"INSERT INTO tenants (tenant_id, tenant_name, booth_location, floor_label, contact_name, contact_phone, contact_email, revenue_share_pct, bank_account, is_active) VALUES ("&amp;CHAR(39)&amp;A35&amp;CHAR(39)&amp;", "&amp;CHAR(39)&amp;B35&amp;CHAR(39)&amp;", "&amp;CHAR(39)&amp;C35&amp;CHAR(39)&amp;", "&amp;IF(D35="","NULL",CHAR(39)&amp;D35&amp;CHAR(39))&amp;", "&amp;CHAR(39)&amp;E35&amp;CHAR(39)&amp;", "&amp;CHAR(39)&amp;F35&amp;CHAR(39)&amp;", "&amp;IF(G35="","NULL",CHAR(39)&amp;G35&amp;CHAR(39))&amp;", "&amp;H35&amp;", "&amp;IF(I35="","NULL",CHAR(39)&amp;I35&amp;CHAR(39))&amp;", "&amp;IF(J35="TRUE","TRUE","FALSE")&amp;");"</f>
        <v>INSERT INTO tenants (tenant_id, tenant_name, booth_location, floor_label, contact_name, contact_phone, contact_email, revenue_share_pct, bank_account, is_active) VALUES ('', '', '', NULL, '', '', NULL, , NULL, FALSE);</v>
      </c>
    </row>
    <row r="36" spans="1:11" x14ac:dyDescent="0.25">
      <c r="A36" s="17"/>
      <c r="B36" s="17"/>
      <c r="C36" s="17"/>
      <c r="D36" s="18"/>
      <c r="E36" s="17"/>
      <c r="F36" s="17"/>
      <c r="G36" s="18"/>
      <c r="H36" s="17"/>
      <c r="I36" s="18"/>
      <c r="J36" s="17"/>
      <c r="K36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37" spans="1:11" x14ac:dyDescent="0.25">
      <c r="A37" s="17"/>
      <c r="B37" s="17"/>
      <c r="C37" s="17"/>
      <c r="D37" s="18"/>
      <c r="E37" s="17"/>
      <c r="F37" s="17"/>
      <c r="G37" s="18"/>
      <c r="H37" s="17"/>
      <c r="I37" s="18"/>
      <c r="J37" s="17"/>
      <c r="K37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38" spans="1:11" x14ac:dyDescent="0.25">
      <c r="A38" s="17"/>
      <c r="B38" s="17"/>
      <c r="C38" s="17"/>
      <c r="D38" s="18"/>
      <c r="E38" s="17"/>
      <c r="F38" s="17"/>
      <c r="G38" s="18"/>
      <c r="H38" s="17"/>
      <c r="I38" s="18"/>
      <c r="J38" s="17"/>
      <c r="K38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39" spans="1:11" x14ac:dyDescent="0.25">
      <c r="A39" s="17"/>
      <c r="B39" s="17"/>
      <c r="C39" s="17"/>
      <c r="D39" s="18"/>
      <c r="E39" s="17"/>
      <c r="F39" s="17"/>
      <c r="G39" s="18"/>
      <c r="H39" s="17"/>
      <c r="I39" s="18"/>
      <c r="J39" s="17"/>
      <c r="K39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0" spans="1:11" x14ac:dyDescent="0.25">
      <c r="A40" s="17"/>
      <c r="B40" s="17"/>
      <c r="C40" s="17"/>
      <c r="D40" s="18"/>
      <c r="E40" s="17"/>
      <c r="F40" s="17"/>
      <c r="G40" s="18"/>
      <c r="H40" s="17"/>
      <c r="I40" s="18"/>
      <c r="J40" s="17"/>
      <c r="K40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1" spans="1:11" x14ac:dyDescent="0.25">
      <c r="A41" s="17"/>
      <c r="B41" s="17"/>
      <c r="C41" s="17"/>
      <c r="D41" s="18"/>
      <c r="E41" s="17"/>
      <c r="F41" s="17"/>
      <c r="G41" s="18"/>
      <c r="H41" s="17"/>
      <c r="I41" s="18"/>
      <c r="J41" s="17"/>
      <c r="K41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2" spans="1:11" x14ac:dyDescent="0.25">
      <c r="A42" s="17"/>
      <c r="B42" s="17"/>
      <c r="C42" s="17"/>
      <c r="D42" s="18"/>
      <c r="E42" s="17"/>
      <c r="F42" s="17"/>
      <c r="G42" s="18"/>
      <c r="H42" s="17"/>
      <c r="I42" s="18"/>
      <c r="J42" s="17"/>
      <c r="K42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3" spans="1:11" x14ac:dyDescent="0.25">
      <c r="A43" s="17"/>
      <c r="B43" s="17"/>
      <c r="C43" s="17"/>
      <c r="D43" s="18"/>
      <c r="E43" s="17"/>
      <c r="F43" s="17"/>
      <c r="G43" s="18"/>
      <c r="H43" s="17"/>
      <c r="I43" s="18"/>
      <c r="J43" s="17"/>
      <c r="K43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4" spans="1:11" x14ac:dyDescent="0.25">
      <c r="A44" s="17"/>
      <c r="B44" s="17"/>
      <c r="C44" s="17"/>
      <c r="D44" s="18"/>
      <c r="E44" s="17"/>
      <c r="F44" s="17"/>
      <c r="G44" s="18"/>
      <c r="H44" s="17"/>
      <c r="I44" s="18"/>
      <c r="J44" s="17"/>
      <c r="K44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5" spans="1:11" x14ac:dyDescent="0.25">
      <c r="A45" s="17"/>
      <c r="B45" s="17"/>
      <c r="C45" s="17"/>
      <c r="D45" s="18"/>
      <c r="E45" s="17"/>
      <c r="F45" s="17"/>
      <c r="G45" s="18"/>
      <c r="H45" s="17"/>
      <c r="I45" s="18"/>
      <c r="J45" s="17"/>
      <c r="K45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6" spans="1:11" x14ac:dyDescent="0.25">
      <c r="A46" s="17"/>
      <c r="B46" s="17"/>
      <c r="C46" s="17"/>
      <c r="D46" s="18"/>
      <c r="E46" s="17"/>
      <c r="F46" s="17"/>
      <c r="G46" s="18"/>
      <c r="H46" s="17"/>
      <c r="I46" s="18"/>
      <c r="J46" s="17"/>
      <c r="K46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7" spans="1:11" x14ac:dyDescent="0.25">
      <c r="A47" s="17"/>
      <c r="B47" s="17"/>
      <c r="C47" s="17"/>
      <c r="D47" s="18"/>
      <c r="E47" s="17"/>
      <c r="F47" s="17"/>
      <c r="G47" s="18"/>
      <c r="H47" s="17"/>
      <c r="I47" s="18"/>
      <c r="J47" s="17"/>
      <c r="K47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8" spans="1:11" x14ac:dyDescent="0.25">
      <c r="A48" s="17"/>
      <c r="B48" s="17"/>
      <c r="C48" s="17"/>
      <c r="D48" s="18"/>
      <c r="E48" s="17"/>
      <c r="F48" s="17"/>
      <c r="G48" s="18"/>
      <c r="H48" s="17"/>
      <c r="I48" s="18"/>
      <c r="J48" s="17"/>
      <c r="K48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49" spans="1:11" x14ac:dyDescent="0.25">
      <c r="A49" s="17"/>
      <c r="B49" s="17"/>
      <c r="C49" s="17"/>
      <c r="D49" s="18"/>
      <c r="E49" s="17"/>
      <c r="F49" s="17"/>
      <c r="G49" s="18"/>
      <c r="H49" s="17"/>
      <c r="I49" s="18"/>
      <c r="J49" s="17"/>
      <c r="K49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50" spans="1:11" x14ac:dyDescent="0.25">
      <c r="A50" s="17"/>
      <c r="B50" s="17"/>
      <c r="C50" s="17"/>
      <c r="D50" s="18"/>
      <c r="E50" s="17"/>
      <c r="F50" s="17"/>
      <c r="G50" s="18"/>
      <c r="H50" s="17"/>
      <c r="I50" s="18"/>
      <c r="J50" s="17"/>
      <c r="K50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51" spans="1:11" x14ac:dyDescent="0.25">
      <c r="A51" s="17"/>
      <c r="B51" s="17"/>
      <c r="C51" s="17"/>
      <c r="D51" s="18"/>
      <c r="E51" s="17"/>
      <c r="F51" s="17"/>
      <c r="G51" s="18"/>
      <c r="H51" s="17"/>
      <c r="I51" s="18"/>
      <c r="J51" s="17"/>
      <c r="K51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52" spans="1:11" x14ac:dyDescent="0.25">
      <c r="A52" s="17"/>
      <c r="B52" s="17"/>
      <c r="C52" s="17"/>
      <c r="D52" s="18"/>
      <c r="E52" s="17"/>
      <c r="F52" s="17"/>
      <c r="G52" s="18"/>
      <c r="H52" s="17"/>
      <c r="I52" s="18"/>
      <c r="J52" s="17"/>
      <c r="K52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  <row r="53" spans="1:11" x14ac:dyDescent="0.25">
      <c r="A53" s="17"/>
      <c r="B53" s="17"/>
      <c r="C53" s="17"/>
      <c r="D53" s="18"/>
      <c r="E53" s="17"/>
      <c r="F53" s="17"/>
      <c r="G53" s="18"/>
      <c r="H53" s="17"/>
      <c r="I53" s="18"/>
      <c r="J53" s="17"/>
      <c r="K53" s="16" t="str">
        <f t="shared" si="1"/>
        <v>INSERT INTO tenants (tenant_id, tenant_name, booth_location, floor_label, contact_name, contact_phone, contact_email, revenue_share_pct, bank_account, is_active) VALUES ('', '', '', NULL, '', '', NULL, , NULL, FALSE);</v>
      </c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3"/>
  <sheetViews>
    <sheetView tabSelected="1" workbookViewId="0">
      <pane ySplit="2" topLeftCell="A3" activePane="bottomLeft" state="frozen"/>
      <selection pane="bottomLeft" activeCell="D10" sqref="D10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6" customWidth="1"/>
    <col min="5" max="5" width="12" customWidth="1"/>
    <col min="6" max="6" width="20" customWidth="1"/>
    <col min="7" max="7" width="14" customWidth="1"/>
    <col min="8" max="8" width="18" customWidth="1"/>
    <col min="9" max="10" width="35" customWidth="1"/>
    <col min="11" max="11" width="14" customWidth="1"/>
    <col min="12" max="12" width="12" customWidth="1"/>
    <col min="13" max="13" width="130" customWidth="1"/>
  </cols>
  <sheetData>
    <row r="1" spans="1:13" x14ac:dyDescent="0.25">
      <c r="A1" s="7" t="s">
        <v>21</v>
      </c>
      <c r="B1" s="8"/>
      <c r="C1" s="9" t="e">
        <f>Wajib isi</f>
        <v>#NAME?</v>
      </c>
      <c r="D1" s="10"/>
      <c r="E1" s="9" t="e">
        <f>Optional</f>
        <v>#NAME?</v>
      </c>
      <c r="F1" s="11"/>
      <c r="G1" s="9" t="e">
        <f>Formula SQL</f>
        <v>#NAME?</v>
      </c>
    </row>
    <row r="2" spans="1:13" ht="39.950000000000003" customHeight="1" x14ac:dyDescent="0.25">
      <c r="A2" s="12" t="s">
        <v>41</v>
      </c>
      <c r="B2" s="12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3" t="s">
        <v>49</v>
      </c>
      <c r="J2" s="13" t="s">
        <v>50</v>
      </c>
      <c r="K2" s="13" t="s">
        <v>51</v>
      </c>
      <c r="L2" s="12" t="s">
        <v>31</v>
      </c>
      <c r="M2" s="14" t="s">
        <v>52</v>
      </c>
    </row>
    <row r="3" spans="1:13" x14ac:dyDescent="0.25">
      <c r="A3" s="15" t="s">
        <v>53</v>
      </c>
      <c r="B3" s="15" t="s">
        <v>54</v>
      </c>
      <c r="C3" s="15" t="s">
        <v>55</v>
      </c>
      <c r="D3" s="15">
        <v>450000</v>
      </c>
      <c r="E3" s="15" t="s">
        <v>33</v>
      </c>
      <c r="F3" s="15" t="s">
        <v>56</v>
      </c>
      <c r="G3" s="15">
        <v>12</v>
      </c>
      <c r="H3" s="15" t="s">
        <v>57</v>
      </c>
      <c r="I3" s="15"/>
      <c r="J3" s="15" t="s">
        <v>58</v>
      </c>
      <c r="K3" s="15"/>
      <c r="L3" s="15" t="s">
        <v>40</v>
      </c>
      <c r="M3" s="16" t="str">
        <f>"INSERT INTO products (product_id, product_name, category, price, tenant_id, barcode, stock_quantity, stock_status, image_url, description, odoo_categ_id, is_active) VALUES ("&amp;CHAR(39)&amp;A3&amp;CHAR(39)&amp;", "&amp;CHAR(39)&amp;B3&amp;CHAR(39)&amp;", "&amp;CHAR(39)&amp;C3&amp;CHAR(39)&amp;", "&amp;D3&amp;", "&amp;CHAR(39)&amp;E3&amp;CHAR(39)&amp;", "&amp;CHAR(39)&amp;F3&amp;CHAR(39)&amp;", "&amp;G3&amp;", "&amp;CHAR(39)&amp;H3&amp;CHAR(39)&amp;", "&amp;IF(I3="","NULL",CHAR(39)&amp;I3&amp;CHAR(39))&amp;", "&amp;IF(J3="","NULL",CHAR(39)&amp;J3&amp;CHAR(39))&amp;", "&amp;IF(K3="","NULL",K3)&amp;", "&amp;L3&amp;");"</f>
        <v>INSERT INTO products (product_id, product_name, category, price, tenant_id, barcode, stock_quantity, stock_status, image_url, description, odoo_categ_id, is_active) VALUES ('P001-T001', 'Barbie Dreamhouse', 'Doll', 450000, 'T001', 'EAN-001-T001', 12, 'AVAILABLE', NULL, 'Boneka fashion premium', NULL, TRUE);</v>
      </c>
    </row>
    <row r="4" spans="1:13" x14ac:dyDescent="0.25">
      <c r="A4" s="17" t="s">
        <v>74</v>
      </c>
      <c r="B4" s="17" t="s">
        <v>75</v>
      </c>
      <c r="C4" s="17" t="s">
        <v>72</v>
      </c>
      <c r="D4" s="17">
        <v>2194000</v>
      </c>
      <c r="E4" s="17" t="s">
        <v>73</v>
      </c>
      <c r="F4" s="17" t="s">
        <v>74</v>
      </c>
      <c r="G4" s="17">
        <v>6</v>
      </c>
      <c r="H4" s="17" t="s">
        <v>57</v>
      </c>
      <c r="I4" s="18"/>
      <c r="J4" s="18" t="s">
        <v>76</v>
      </c>
      <c r="K4" s="18"/>
      <c r="L4" s="15" t="s">
        <v>40</v>
      </c>
      <c r="M4" s="16" t="str">
        <f t="shared" ref="M4:M53" si="0">"INSERT INTO products (product_id, product_name, category, price, tenant_id, barcode, stock_quantity, stock_status, image_url, description, odoo_categ_id, is_active) VALUES ("&amp;CHAR(39)&amp;A4&amp;CHAR(39)&amp;", "&amp;CHAR(39)&amp;B4&amp;CHAR(39)&amp;", "&amp;CHAR(39)&amp;C4&amp;CHAR(39)&amp;", "&amp;D4&amp;", "&amp;CHAR(39)&amp;E4&amp;CHAR(39)&amp;", "&amp;CHAR(39)&amp;F4&amp;CHAR(39)&amp;", "&amp;G4&amp;", "&amp;CHAR(39)&amp;H4&amp;CHAR(39)&amp;", "&amp;IF(I4="","NULL",CHAR(39)&amp;I4&amp;CHAR(39))&amp;", "&amp;IF(J4="","NULL",CHAR(39)&amp;J4&amp;CHAR(39))&amp;", "&amp;IF(K4="","NULL",K4)&amp;", "&amp;L4&amp;");"</f>
        <v>INSERT INTO products (product_id, product_name, category, price, tenant_id, barcode, stock_quantity, stock_status, image_url, description, odoo_categ_id, is_active) VALUES ('2600110', '1974 Godzilla - Silver', 'Amazing Toy Show', 2194000, 'T031', '2600110', 6, 'AVAILABLE', NULL, 'Individually wrapped toys ', NULL, TRUE);</v>
      </c>
    </row>
    <row r="5" spans="1:13" x14ac:dyDescent="0.25">
      <c r="A5" s="17" t="s">
        <v>77</v>
      </c>
      <c r="B5" s="17" t="s">
        <v>78</v>
      </c>
      <c r="C5" s="17" t="s">
        <v>72</v>
      </c>
      <c r="D5" s="17">
        <v>490000</v>
      </c>
      <c r="E5" s="17" t="s">
        <v>79</v>
      </c>
      <c r="F5" s="17" t="s">
        <v>80</v>
      </c>
      <c r="G5" s="17">
        <v>2</v>
      </c>
      <c r="H5" s="17" t="s">
        <v>57</v>
      </c>
      <c r="I5" s="18"/>
      <c r="J5" s="18">
        <v>0</v>
      </c>
      <c r="K5" s="18"/>
      <c r="L5" s="17" t="b">
        <v>1</v>
      </c>
      <c r="M5" s="16" t="str">
        <f t="shared" si="0"/>
        <v>INSERT INTO products (product_id, product_name, category, price, tenant_id, barcode, stock_quantity, stock_status, image_url, description, odoo_categ_id, is_active) VALUES ('AB06', 'Loong Starfy Tumbler', 'Amazing Toy Show', 490000, 'T030', '6972636692852', 2, 'AVAILABLE', NULL, '0', NULL, TRUE);</v>
      </c>
    </row>
    <row r="6" spans="1:13" x14ac:dyDescent="0.25">
      <c r="A6" s="17" t="s">
        <v>81</v>
      </c>
      <c r="B6" s="17" t="s">
        <v>78</v>
      </c>
      <c r="C6" s="17" t="s">
        <v>72</v>
      </c>
      <c r="D6" s="17">
        <v>490000</v>
      </c>
      <c r="E6" s="17" t="s">
        <v>79</v>
      </c>
      <c r="F6" s="17" t="s">
        <v>80</v>
      </c>
      <c r="G6" s="17">
        <v>2</v>
      </c>
      <c r="H6" s="17" t="s">
        <v>57</v>
      </c>
      <c r="I6" s="18"/>
      <c r="J6" s="18">
        <v>0</v>
      </c>
      <c r="K6" s="18"/>
      <c r="L6" s="17" t="b">
        <v>1</v>
      </c>
      <c r="M6" s="16" t="str">
        <f t="shared" si="0"/>
        <v>INSERT INTO products (product_id, product_name, category, price, tenant_id, barcode, stock_quantity, stock_status, image_url, description, odoo_categ_id, is_active) VALUES ('AB09', 'Loong Starfy Tumbler', 'Amazing Toy Show', 490000, 'T030', '6972636692852', 2, 'AVAILABLE', NULL, '0', NULL, TRUE);</v>
      </c>
    </row>
    <row r="7" spans="1:13" x14ac:dyDescent="0.25">
      <c r="A7" s="17"/>
      <c r="B7" s="17"/>
      <c r="C7" s="17"/>
      <c r="D7" s="17"/>
      <c r="E7" s="17"/>
      <c r="F7" s="17"/>
      <c r="G7" s="17"/>
      <c r="H7" s="17"/>
      <c r="I7" s="18"/>
      <c r="J7" s="18"/>
      <c r="K7" s="18"/>
      <c r="L7" s="17"/>
      <c r="M7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8" spans="1:13" x14ac:dyDescent="0.25">
      <c r="A8" s="17"/>
      <c r="B8" s="17"/>
      <c r="C8" s="17"/>
      <c r="D8" s="17"/>
      <c r="E8" s="17"/>
      <c r="F8" s="17"/>
      <c r="G8" s="17"/>
      <c r="H8" s="17"/>
      <c r="I8" s="18"/>
      <c r="J8" s="18"/>
      <c r="K8" s="18"/>
      <c r="L8" s="17"/>
      <c r="M8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9" spans="1:13" x14ac:dyDescent="0.25">
      <c r="A9" s="17"/>
      <c r="B9" s="17"/>
      <c r="C9" s="17"/>
      <c r="D9" s="17"/>
      <c r="E9" s="17"/>
      <c r="F9" s="17"/>
      <c r="G9" s="17"/>
      <c r="H9" s="17"/>
      <c r="I9" s="18"/>
      <c r="J9" s="18"/>
      <c r="K9" s="18"/>
      <c r="L9" s="17"/>
      <c r="M9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0" spans="1:13" x14ac:dyDescent="0.25">
      <c r="A10" s="17"/>
      <c r="B10" s="17"/>
      <c r="C10" s="17"/>
      <c r="D10" s="17"/>
      <c r="E10" s="17"/>
      <c r="F10" s="17"/>
      <c r="G10" s="17"/>
      <c r="H10" s="17"/>
      <c r="I10" s="18"/>
      <c r="J10" s="18"/>
      <c r="K10" s="18"/>
      <c r="L10" s="17"/>
      <c r="M10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1" spans="1:13" x14ac:dyDescent="0.25">
      <c r="A11" s="17"/>
      <c r="B11" s="17"/>
      <c r="C11" s="17"/>
      <c r="D11" s="17"/>
      <c r="E11" s="17"/>
      <c r="F11" s="17"/>
      <c r="G11" s="17"/>
      <c r="H11" s="17"/>
      <c r="I11" s="18"/>
      <c r="J11" s="18"/>
      <c r="K11" s="18"/>
      <c r="L11" s="17"/>
      <c r="M11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2" spans="1:13" x14ac:dyDescent="0.25">
      <c r="A12" s="17"/>
      <c r="B12" s="17"/>
      <c r="C12" s="17"/>
      <c r="D12" s="17"/>
      <c r="E12" s="17"/>
      <c r="F12" s="17"/>
      <c r="G12" s="17"/>
      <c r="H12" s="17"/>
      <c r="I12" s="18"/>
      <c r="J12" s="18"/>
      <c r="K12" s="18"/>
      <c r="L12" s="17"/>
      <c r="M12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3" spans="1:13" x14ac:dyDescent="0.25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8"/>
      <c r="L13" s="17"/>
      <c r="M13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4" spans="1:13" x14ac:dyDescent="0.25">
      <c r="A14" s="17"/>
      <c r="B14" s="17"/>
      <c r="C14" s="17"/>
      <c r="D14" s="17"/>
      <c r="E14" s="17"/>
      <c r="F14" s="17"/>
      <c r="G14" s="17"/>
      <c r="H14" s="17"/>
      <c r="I14" s="18"/>
      <c r="J14" s="18"/>
      <c r="K14" s="18"/>
      <c r="L14" s="17"/>
      <c r="M14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5" spans="1:13" x14ac:dyDescent="0.25">
      <c r="A15" s="17"/>
      <c r="B15" s="17"/>
      <c r="C15" s="17"/>
      <c r="D15" s="17"/>
      <c r="E15" s="17"/>
      <c r="F15" s="17"/>
      <c r="G15" s="17"/>
      <c r="H15" s="17"/>
      <c r="I15" s="18"/>
      <c r="J15" s="18"/>
      <c r="K15" s="18"/>
      <c r="L15" s="17"/>
      <c r="M15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6" spans="1:13" x14ac:dyDescent="0.25">
      <c r="A16" s="17"/>
      <c r="B16" s="17"/>
      <c r="C16" s="17"/>
      <c r="D16" s="17"/>
      <c r="E16" s="17"/>
      <c r="F16" s="17"/>
      <c r="G16" s="17"/>
      <c r="H16" s="17"/>
      <c r="I16" s="18"/>
      <c r="J16" s="18"/>
      <c r="K16" s="18"/>
      <c r="L16" s="17"/>
      <c r="M16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7" spans="1:13" x14ac:dyDescent="0.25">
      <c r="A17" s="17"/>
      <c r="B17" s="17"/>
      <c r="C17" s="17"/>
      <c r="D17" s="17"/>
      <c r="E17" s="17"/>
      <c r="F17" s="17"/>
      <c r="G17" s="17"/>
      <c r="H17" s="17"/>
      <c r="I17" s="18"/>
      <c r="J17" s="18"/>
      <c r="K17" s="18"/>
      <c r="L17" s="17"/>
      <c r="M17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8" spans="1:13" x14ac:dyDescent="0.25">
      <c r="A18" s="17"/>
      <c r="B18" s="17"/>
      <c r="C18" s="17"/>
      <c r="D18" s="17"/>
      <c r="E18" s="17"/>
      <c r="F18" s="17"/>
      <c r="G18" s="17"/>
      <c r="H18" s="17"/>
      <c r="I18" s="18"/>
      <c r="J18" s="18"/>
      <c r="K18" s="18"/>
      <c r="L18" s="17"/>
      <c r="M18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19" spans="1:13" x14ac:dyDescent="0.25">
      <c r="A19" s="17"/>
      <c r="B19" s="17"/>
      <c r="C19" s="17"/>
      <c r="D19" s="17"/>
      <c r="E19" s="17"/>
      <c r="F19" s="17"/>
      <c r="G19" s="17"/>
      <c r="H19" s="17"/>
      <c r="I19" s="18"/>
      <c r="J19" s="18"/>
      <c r="K19" s="18"/>
      <c r="L19" s="17"/>
      <c r="M19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0" spans="1:13" x14ac:dyDescent="0.25">
      <c r="A20" s="17"/>
      <c r="B20" s="17"/>
      <c r="C20" s="17"/>
      <c r="D20" s="17"/>
      <c r="E20" s="17"/>
      <c r="F20" s="17"/>
      <c r="G20" s="17"/>
      <c r="H20" s="17"/>
      <c r="I20" s="18"/>
      <c r="J20" s="18"/>
      <c r="K20" s="18"/>
      <c r="L20" s="17"/>
      <c r="M20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1" spans="1:13" x14ac:dyDescent="0.25">
      <c r="A21" s="17"/>
      <c r="B21" s="17"/>
      <c r="C21" s="17"/>
      <c r="D21" s="17"/>
      <c r="E21" s="17"/>
      <c r="F21" s="17"/>
      <c r="G21" s="17"/>
      <c r="H21" s="17"/>
      <c r="I21" s="18"/>
      <c r="J21" s="18"/>
      <c r="K21" s="18"/>
      <c r="L21" s="17"/>
      <c r="M21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2" spans="1:13" x14ac:dyDescent="0.25">
      <c r="A22" s="17"/>
      <c r="B22" s="17"/>
      <c r="C22" s="17"/>
      <c r="D22" s="17"/>
      <c r="E22" s="17"/>
      <c r="F22" s="17"/>
      <c r="G22" s="17"/>
      <c r="H22" s="17"/>
      <c r="I22" s="18"/>
      <c r="J22" s="18"/>
      <c r="K22" s="18"/>
      <c r="L22" s="17"/>
      <c r="M22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3" spans="1:13" x14ac:dyDescent="0.25">
      <c r="A23" s="17"/>
      <c r="B23" s="17"/>
      <c r="C23" s="17"/>
      <c r="D23" s="17"/>
      <c r="E23" s="17"/>
      <c r="F23" s="17"/>
      <c r="G23" s="17"/>
      <c r="H23" s="17"/>
      <c r="I23" s="18"/>
      <c r="J23" s="18"/>
      <c r="K23" s="18"/>
      <c r="L23" s="17"/>
      <c r="M23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4" spans="1:13" x14ac:dyDescent="0.25">
      <c r="A24" s="17"/>
      <c r="B24" s="17"/>
      <c r="C24" s="17"/>
      <c r="D24" s="17"/>
      <c r="E24" s="17"/>
      <c r="F24" s="17"/>
      <c r="G24" s="17"/>
      <c r="H24" s="17"/>
      <c r="I24" s="18"/>
      <c r="J24" s="18"/>
      <c r="K24" s="18"/>
      <c r="L24" s="17"/>
      <c r="M24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5" spans="1:13" x14ac:dyDescent="0.25">
      <c r="A25" s="17"/>
      <c r="B25" s="17"/>
      <c r="C25" s="17"/>
      <c r="D25" s="17"/>
      <c r="E25" s="17"/>
      <c r="F25" s="17"/>
      <c r="G25" s="17"/>
      <c r="H25" s="17"/>
      <c r="I25" s="18"/>
      <c r="J25" s="18"/>
      <c r="K25" s="18"/>
      <c r="L25" s="17"/>
      <c r="M25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6" spans="1:13" x14ac:dyDescent="0.25">
      <c r="A26" s="17"/>
      <c r="B26" s="17"/>
      <c r="C26" s="17"/>
      <c r="D26" s="17"/>
      <c r="E26" s="17"/>
      <c r="F26" s="17"/>
      <c r="G26" s="17"/>
      <c r="H26" s="17"/>
      <c r="I26" s="18"/>
      <c r="J26" s="18"/>
      <c r="K26" s="18"/>
      <c r="L26" s="17"/>
      <c r="M26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7" spans="1:13" x14ac:dyDescent="0.25">
      <c r="A27" s="17"/>
      <c r="B27" s="17"/>
      <c r="C27" s="17"/>
      <c r="D27" s="17"/>
      <c r="E27" s="17"/>
      <c r="F27" s="17"/>
      <c r="G27" s="17"/>
      <c r="H27" s="17"/>
      <c r="I27" s="18"/>
      <c r="J27" s="18"/>
      <c r="K27" s="18"/>
      <c r="L27" s="17"/>
      <c r="M27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8" spans="1:13" x14ac:dyDescent="0.25">
      <c r="A28" s="17"/>
      <c r="B28" s="17"/>
      <c r="C28" s="17"/>
      <c r="D28" s="17"/>
      <c r="E28" s="17"/>
      <c r="F28" s="17"/>
      <c r="G28" s="17"/>
      <c r="H28" s="17"/>
      <c r="I28" s="18"/>
      <c r="J28" s="18"/>
      <c r="K28" s="18"/>
      <c r="L28" s="17"/>
      <c r="M28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29" spans="1:13" x14ac:dyDescent="0.25">
      <c r="A29" s="17"/>
      <c r="B29" s="17"/>
      <c r="C29" s="17"/>
      <c r="D29" s="17"/>
      <c r="E29" s="17"/>
      <c r="F29" s="17"/>
      <c r="G29" s="17"/>
      <c r="H29" s="17"/>
      <c r="I29" s="18"/>
      <c r="J29" s="18"/>
      <c r="K29" s="18"/>
      <c r="L29" s="17"/>
      <c r="M29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0" spans="1:13" x14ac:dyDescent="0.25">
      <c r="A30" s="17"/>
      <c r="B30" s="17"/>
      <c r="C30" s="17"/>
      <c r="D30" s="17"/>
      <c r="E30" s="17"/>
      <c r="F30" s="17"/>
      <c r="G30" s="17"/>
      <c r="H30" s="17"/>
      <c r="I30" s="18"/>
      <c r="J30" s="18"/>
      <c r="K30" s="18"/>
      <c r="L30" s="17"/>
      <c r="M30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1" spans="1:13" x14ac:dyDescent="0.25">
      <c r="A31" s="17"/>
      <c r="B31" s="17"/>
      <c r="C31" s="17"/>
      <c r="D31" s="17"/>
      <c r="E31" s="17"/>
      <c r="F31" s="17"/>
      <c r="G31" s="17"/>
      <c r="H31" s="17"/>
      <c r="I31" s="18"/>
      <c r="J31" s="18"/>
      <c r="K31" s="18"/>
      <c r="L31" s="17"/>
      <c r="M31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2" spans="1:13" x14ac:dyDescent="0.25">
      <c r="A32" s="17"/>
      <c r="B32" s="17"/>
      <c r="C32" s="17"/>
      <c r="D32" s="17"/>
      <c r="E32" s="17"/>
      <c r="F32" s="17"/>
      <c r="G32" s="17"/>
      <c r="H32" s="17"/>
      <c r="I32" s="18"/>
      <c r="J32" s="18"/>
      <c r="K32" s="18"/>
      <c r="L32" s="17"/>
      <c r="M32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3" spans="1:13" x14ac:dyDescent="0.25">
      <c r="A33" s="17"/>
      <c r="B33" s="17"/>
      <c r="C33" s="17"/>
      <c r="D33" s="17"/>
      <c r="E33" s="17"/>
      <c r="F33" s="17"/>
      <c r="G33" s="17"/>
      <c r="H33" s="17"/>
      <c r="I33" s="18"/>
      <c r="J33" s="18"/>
      <c r="K33" s="18"/>
      <c r="L33" s="17"/>
      <c r="M33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4" spans="1:13" x14ac:dyDescent="0.25">
      <c r="A34" s="17"/>
      <c r="B34" s="17"/>
      <c r="C34" s="17"/>
      <c r="D34" s="17"/>
      <c r="E34" s="17"/>
      <c r="F34" s="17"/>
      <c r="G34" s="17"/>
      <c r="H34" s="17"/>
      <c r="I34" s="18"/>
      <c r="J34" s="18"/>
      <c r="K34" s="18"/>
      <c r="L34" s="17"/>
      <c r="M34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5" spans="1:13" x14ac:dyDescent="0.25">
      <c r="A35" s="17"/>
      <c r="B35" s="17"/>
      <c r="C35" s="17"/>
      <c r="D35" s="17"/>
      <c r="E35" s="17"/>
      <c r="F35" s="17"/>
      <c r="G35" s="17"/>
      <c r="H35" s="17"/>
      <c r="I35" s="18"/>
      <c r="J35" s="18"/>
      <c r="K35" s="18"/>
      <c r="L35" s="17"/>
      <c r="M35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6" spans="1:13" x14ac:dyDescent="0.25">
      <c r="A36" s="17"/>
      <c r="B36" s="17"/>
      <c r="C36" s="17"/>
      <c r="D36" s="17"/>
      <c r="E36" s="17"/>
      <c r="F36" s="17"/>
      <c r="G36" s="17"/>
      <c r="H36" s="17"/>
      <c r="I36" s="18"/>
      <c r="J36" s="18"/>
      <c r="K36" s="18"/>
      <c r="L36" s="17"/>
      <c r="M36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7" spans="1:13" x14ac:dyDescent="0.25">
      <c r="A37" s="17"/>
      <c r="B37" s="17"/>
      <c r="C37" s="17"/>
      <c r="D37" s="17"/>
      <c r="E37" s="17"/>
      <c r="F37" s="17"/>
      <c r="G37" s="17"/>
      <c r="H37" s="17"/>
      <c r="I37" s="18"/>
      <c r="J37" s="18"/>
      <c r="K37" s="18"/>
      <c r="L37" s="17"/>
      <c r="M37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8" spans="1:13" x14ac:dyDescent="0.25">
      <c r="A38" s="17"/>
      <c r="B38" s="17"/>
      <c r="C38" s="17"/>
      <c r="D38" s="17"/>
      <c r="E38" s="17"/>
      <c r="F38" s="17"/>
      <c r="G38" s="17"/>
      <c r="H38" s="17"/>
      <c r="I38" s="18"/>
      <c r="J38" s="18"/>
      <c r="K38" s="18"/>
      <c r="L38" s="17"/>
      <c r="M38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39" spans="1:13" x14ac:dyDescent="0.25">
      <c r="A39" s="17"/>
      <c r="B39" s="17"/>
      <c r="C39" s="17"/>
      <c r="D39" s="17"/>
      <c r="E39" s="17"/>
      <c r="F39" s="17"/>
      <c r="G39" s="17"/>
      <c r="H39" s="17"/>
      <c r="I39" s="18"/>
      <c r="J39" s="18"/>
      <c r="K39" s="18"/>
      <c r="L39" s="17"/>
      <c r="M39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0" spans="1:13" x14ac:dyDescent="0.25">
      <c r="A40" s="17"/>
      <c r="B40" s="17"/>
      <c r="C40" s="17"/>
      <c r="D40" s="17"/>
      <c r="E40" s="17"/>
      <c r="F40" s="17"/>
      <c r="G40" s="17"/>
      <c r="H40" s="17"/>
      <c r="I40" s="18"/>
      <c r="J40" s="18"/>
      <c r="K40" s="18"/>
      <c r="L40" s="17"/>
      <c r="M40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1" spans="1:13" x14ac:dyDescent="0.25">
      <c r="A41" s="17"/>
      <c r="B41" s="17"/>
      <c r="C41" s="17"/>
      <c r="D41" s="17"/>
      <c r="E41" s="17"/>
      <c r="F41" s="17"/>
      <c r="G41" s="17"/>
      <c r="H41" s="17"/>
      <c r="I41" s="18"/>
      <c r="J41" s="18"/>
      <c r="K41" s="18"/>
      <c r="L41" s="17"/>
      <c r="M41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2" spans="1:13" x14ac:dyDescent="0.25">
      <c r="A42" s="17"/>
      <c r="B42" s="17"/>
      <c r="C42" s="17"/>
      <c r="D42" s="17"/>
      <c r="E42" s="17"/>
      <c r="F42" s="17"/>
      <c r="G42" s="17"/>
      <c r="H42" s="17"/>
      <c r="I42" s="18"/>
      <c r="J42" s="18"/>
      <c r="K42" s="18"/>
      <c r="L42" s="17"/>
      <c r="M42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3" spans="1:13" x14ac:dyDescent="0.25">
      <c r="A43" s="17"/>
      <c r="B43" s="17"/>
      <c r="C43" s="17"/>
      <c r="D43" s="17"/>
      <c r="E43" s="17"/>
      <c r="F43" s="17"/>
      <c r="G43" s="17"/>
      <c r="H43" s="17"/>
      <c r="I43" s="18"/>
      <c r="J43" s="18"/>
      <c r="K43" s="18"/>
      <c r="L43" s="17"/>
      <c r="M43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4" spans="1:13" x14ac:dyDescent="0.25">
      <c r="A44" s="17"/>
      <c r="B44" s="17"/>
      <c r="C44" s="17"/>
      <c r="D44" s="17"/>
      <c r="E44" s="17"/>
      <c r="F44" s="17"/>
      <c r="G44" s="17"/>
      <c r="H44" s="17"/>
      <c r="I44" s="18"/>
      <c r="J44" s="18"/>
      <c r="K44" s="18"/>
      <c r="L44" s="17"/>
      <c r="M44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5" spans="1:13" x14ac:dyDescent="0.25">
      <c r="A45" s="17"/>
      <c r="B45" s="17"/>
      <c r="C45" s="17"/>
      <c r="D45" s="17"/>
      <c r="E45" s="17"/>
      <c r="F45" s="17"/>
      <c r="G45" s="17"/>
      <c r="H45" s="17"/>
      <c r="I45" s="18"/>
      <c r="J45" s="18"/>
      <c r="K45" s="18"/>
      <c r="L45" s="17"/>
      <c r="M45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6" spans="1:13" x14ac:dyDescent="0.25">
      <c r="A46" s="17"/>
      <c r="B46" s="17"/>
      <c r="C46" s="17"/>
      <c r="D46" s="17"/>
      <c r="E46" s="17"/>
      <c r="F46" s="17"/>
      <c r="G46" s="17"/>
      <c r="H46" s="17"/>
      <c r="I46" s="18"/>
      <c r="J46" s="18"/>
      <c r="K46" s="18"/>
      <c r="L46" s="17"/>
      <c r="M46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7" spans="1:13" x14ac:dyDescent="0.25">
      <c r="A47" s="17"/>
      <c r="B47" s="17"/>
      <c r="C47" s="17"/>
      <c r="D47" s="17"/>
      <c r="E47" s="17"/>
      <c r="F47" s="17"/>
      <c r="G47" s="17"/>
      <c r="H47" s="17"/>
      <c r="I47" s="18"/>
      <c r="J47" s="18"/>
      <c r="K47" s="18"/>
      <c r="L47" s="17"/>
      <c r="M47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8" spans="1:13" x14ac:dyDescent="0.25">
      <c r="A48" s="17"/>
      <c r="B48" s="17"/>
      <c r="C48" s="17"/>
      <c r="D48" s="17"/>
      <c r="E48" s="17"/>
      <c r="F48" s="17"/>
      <c r="G48" s="17"/>
      <c r="H48" s="17"/>
      <c r="I48" s="18"/>
      <c r="J48" s="18"/>
      <c r="K48" s="18"/>
      <c r="L48" s="17"/>
      <c r="M48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49" spans="1:13" x14ac:dyDescent="0.25">
      <c r="A49" s="17"/>
      <c r="B49" s="17"/>
      <c r="C49" s="17"/>
      <c r="D49" s="17"/>
      <c r="E49" s="17"/>
      <c r="F49" s="17"/>
      <c r="G49" s="17"/>
      <c r="H49" s="17"/>
      <c r="I49" s="18"/>
      <c r="J49" s="18"/>
      <c r="K49" s="18"/>
      <c r="L49" s="17"/>
      <c r="M49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50" spans="1:13" x14ac:dyDescent="0.25">
      <c r="A50" s="17"/>
      <c r="B50" s="17"/>
      <c r="C50" s="17"/>
      <c r="D50" s="17"/>
      <c r="E50" s="17"/>
      <c r="F50" s="17"/>
      <c r="G50" s="17"/>
      <c r="H50" s="17"/>
      <c r="I50" s="18"/>
      <c r="J50" s="18"/>
      <c r="K50" s="18"/>
      <c r="L50" s="17"/>
      <c r="M50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51" spans="1:13" x14ac:dyDescent="0.25">
      <c r="A51" s="17"/>
      <c r="B51" s="17"/>
      <c r="C51" s="17"/>
      <c r="D51" s="17"/>
      <c r="E51" s="17"/>
      <c r="F51" s="17"/>
      <c r="G51" s="17"/>
      <c r="H51" s="17"/>
      <c r="I51" s="18"/>
      <c r="J51" s="18"/>
      <c r="K51" s="18"/>
      <c r="L51" s="17"/>
      <c r="M51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52" spans="1:13" x14ac:dyDescent="0.25">
      <c r="A52" s="17"/>
      <c r="B52" s="17"/>
      <c r="C52" s="17"/>
      <c r="D52" s="17"/>
      <c r="E52" s="17"/>
      <c r="F52" s="17"/>
      <c r="G52" s="17"/>
      <c r="H52" s="17"/>
      <c r="I52" s="18"/>
      <c r="J52" s="18"/>
      <c r="K52" s="18"/>
      <c r="L52" s="17"/>
      <c r="M52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  <row r="53" spans="1:13" x14ac:dyDescent="0.25">
      <c r="A53" s="17"/>
      <c r="B53" s="17"/>
      <c r="C53" s="17"/>
      <c r="D53" s="17"/>
      <c r="E53" s="17"/>
      <c r="F53" s="17"/>
      <c r="G53" s="17"/>
      <c r="H53" s="17"/>
      <c r="I53" s="18"/>
      <c r="J53" s="18"/>
      <c r="K53" s="18"/>
      <c r="L53" s="17"/>
      <c r="M53" s="16" t="str">
        <f t="shared" si="0"/>
        <v>INSERT INTO products (product_id, product_name, category, price, tenant_id, barcode, stock_quantity, stock_status, image_url, description, odoo_categ_id, is_active) VALUES ('', '', '', , '', '', , '', NULL, NULL, NULL, );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0_PETUNJUK</vt:lpstr>
      <vt:lpstr>1_TENANTS</vt:lpstr>
      <vt:lpstr>2_PRODUCTS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Aristya Rahadiyan</cp:lastModifiedBy>
  <dcterms:created xsi:type="dcterms:W3CDTF">2026-06-22T09:44:18Z</dcterms:created>
  <dcterms:modified xsi:type="dcterms:W3CDTF">2026-06-22T13:11:18Z</dcterms:modified>
</cp:coreProperties>
</file>